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macindustries2-my.sharepoint.com/personal/drew_svendsen_romac_com/Documents/milestones/"/>
    </mc:Choice>
  </mc:AlternateContent>
  <xr:revisionPtr revIDLastSave="40" documentId="8_{3FD613DA-EB95-431E-8050-931D9039E159}" xr6:coauthVersionLast="47" xr6:coauthVersionMax="47" xr10:uidLastSave="{256FF87F-C9A3-4E6D-ACEE-B698DCF014EC}"/>
  <bookViews>
    <workbookView xWindow="-120" yWindow="-120" windowWidth="57840" windowHeight="31920" xr2:uid="{D6D5D4CD-A044-453A-9BE2-67CAD0CE8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F4" i="1" s="1"/>
  <c r="F27" i="1" s="1"/>
  <c r="A20" i="1"/>
  <c r="A21" i="1"/>
  <c r="A22" i="1"/>
  <c r="A23" i="1"/>
  <c r="A24" i="1"/>
  <c r="A25" i="1"/>
  <c r="A26" i="1"/>
  <c r="A27" i="1"/>
  <c r="B27" i="1"/>
  <c r="D27" i="1"/>
  <c r="A28" i="1"/>
  <c r="B28" i="1"/>
  <c r="C28" i="1"/>
  <c r="D28" i="1"/>
  <c r="F28" i="1"/>
  <c r="A29" i="1"/>
  <c r="B29" i="1"/>
  <c r="D29" i="1"/>
  <c r="F3" i="1"/>
  <c r="F2" i="1"/>
  <c r="F29" i="1" s="1"/>
  <c r="C3" i="1"/>
  <c r="G3" i="1" s="1"/>
  <c r="G28" i="1" s="1"/>
  <c r="C2" i="1"/>
  <c r="G2" i="1" s="1"/>
  <c r="G29" i="1" s="1"/>
  <c r="C29" i="1" l="1"/>
  <c r="C4" i="1"/>
  <c r="B5" i="1"/>
  <c r="F5" i="1" l="1"/>
  <c r="F26" i="1" s="1"/>
  <c r="B26" i="1"/>
  <c r="C27" i="1"/>
  <c r="G4" i="1"/>
  <c r="G27" i="1" s="1"/>
  <c r="D5" i="1"/>
  <c r="B6" i="1" l="1"/>
  <c r="D26" i="1"/>
  <c r="C5" i="1"/>
  <c r="C26" i="1" l="1"/>
  <c r="G5" i="1"/>
  <c r="G26" i="1" s="1"/>
  <c r="D6" i="1"/>
  <c r="F6" i="1"/>
  <c r="F25" i="1" s="1"/>
  <c r="B25" i="1"/>
  <c r="D25" i="1" l="1"/>
  <c r="C6" i="1"/>
  <c r="G6" i="1" l="1"/>
  <c r="G25" i="1" s="1"/>
  <c r="C25" i="1"/>
  <c r="B24" i="1"/>
  <c r="F24" i="1"/>
  <c r="D24" i="1" l="1"/>
  <c r="F23" i="1" l="1"/>
  <c r="B23" i="1"/>
  <c r="G24" i="1"/>
  <c r="C24" i="1"/>
  <c r="F22" i="1" l="1"/>
  <c r="B22" i="1"/>
  <c r="D23" i="1"/>
  <c r="D22" i="1" l="1"/>
  <c r="C23" i="1"/>
  <c r="G23" i="1"/>
  <c r="F21" i="1" l="1"/>
  <c r="B21" i="1"/>
  <c r="B20" i="1"/>
  <c r="F20" i="1"/>
  <c r="G22" i="1"/>
  <c r="C22" i="1"/>
  <c r="D20" i="1" l="1"/>
  <c r="D21" i="1"/>
  <c r="G20" i="1" l="1"/>
  <c r="C20" i="1"/>
  <c r="G21" i="1"/>
  <c r="C21" i="1"/>
</calcChain>
</file>

<file path=xl/sharedStrings.xml><?xml version="1.0" encoding="utf-8"?>
<sst xmlns="http://schemas.openxmlformats.org/spreadsheetml/2006/main" count="16" uniqueCount="16">
  <si>
    <t>Milestone</t>
  </si>
  <si>
    <t>Today</t>
  </si>
  <si>
    <t>Start Date</t>
  </si>
  <si>
    <t>End Date</t>
  </si>
  <si>
    <t>Duration</t>
  </si>
  <si>
    <t>Opportunities to improve schedule:</t>
  </si>
  <si>
    <t>Excel Format</t>
  </si>
  <si>
    <t>Tooling being made</t>
  </si>
  <si>
    <t>Testing</t>
  </si>
  <si>
    <t>Shipping</t>
  </si>
  <si>
    <t>Other Eng Tasks</t>
  </si>
  <si>
    <t>Programming, Weld Functionality</t>
  </si>
  <si>
    <t>Robotic Cell Power Up &amp; Commisioning</t>
  </si>
  <si>
    <t>Weld Verification Testing Complete and Reviewed</t>
  </si>
  <si>
    <t>6XL ECN</t>
  </si>
  <si>
    <t>Implemented in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</si>
</sst>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and Alpha Fastener</a:t>
            </a:r>
            <a:r>
              <a:rPr lang="en-US" baseline="0"/>
              <a:t> Transition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0591887502312867E-2"/>
                  <c:y val="0"/>
                </c:manualLayout>
              </c:layout>
              <c:tx>
                <c:rich>
                  <a:bodyPr/>
                  <a:lstStyle/>
                  <a:p>
                    <a:fld id="{9BC745DB-C6D3-4D91-AD68-60EAF541F7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5A9-41D8-8DE5-79C8E61BA2F9}"/>
                </c:ext>
              </c:extLst>
            </c:dLbl>
            <c:dLbl>
              <c:idx val="1"/>
              <c:layout>
                <c:manualLayout>
                  <c:x val="9.3073744372031766E-2"/>
                  <c:y val="-9.7096959344277117E-17"/>
                </c:manualLayout>
              </c:layout>
              <c:tx>
                <c:rich>
                  <a:bodyPr/>
                  <a:lstStyle/>
                  <a:p>
                    <a:fld id="{CBA6CAE0-F5F3-4FE5-9D37-CFB0DB695C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5A9-41D8-8DE5-79C8E61BA2F9}"/>
                </c:ext>
              </c:extLst>
            </c:dLbl>
            <c:dLbl>
              <c:idx val="2"/>
              <c:layout>
                <c:manualLayout>
                  <c:x val="8.349252688061512E-2"/>
                  <c:y val="0"/>
                </c:manualLayout>
              </c:layout>
              <c:tx>
                <c:rich>
                  <a:bodyPr/>
                  <a:lstStyle/>
                  <a:p>
                    <a:fld id="{67AC2216-380B-4EF1-BCFB-96E188291E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5A9-41D8-8DE5-79C8E61BA2F9}"/>
                </c:ext>
              </c:extLst>
            </c:dLbl>
            <c:dLbl>
              <c:idx val="3"/>
              <c:layout>
                <c:manualLayout>
                  <c:x val="0.10229312719722045"/>
                  <c:y val="0"/>
                </c:manualLayout>
              </c:layout>
              <c:tx>
                <c:rich>
                  <a:bodyPr/>
                  <a:lstStyle/>
                  <a:p>
                    <a:fld id="{80B2B98B-3BE4-4292-B7FF-193EEEEE8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5A9-41D8-8DE5-79C8E61BA2F9}"/>
                </c:ext>
              </c:extLst>
            </c:dLbl>
            <c:dLbl>
              <c:idx val="4"/>
              <c:layout>
                <c:manualLayout>
                  <c:x val="0.18185659560178993"/>
                  <c:y val="-9.7096959344277117E-17"/>
                </c:manualLayout>
              </c:layout>
              <c:tx>
                <c:rich>
                  <a:bodyPr/>
                  <a:lstStyle/>
                  <a:p>
                    <a:fld id="{E4DFDE5E-09AD-460F-9E02-C7B054C2E0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5A9-41D8-8DE5-79C8E61BA2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Sheet1!$A$2:$A$11</c:f>
              <c:strCache>
                <c:ptCount val="5"/>
                <c:pt idx="0">
                  <c:v>Robotic Cell Power Up &amp; Commisioning</c:v>
                </c:pt>
                <c:pt idx="1">
                  <c:v>Programming, Weld Functionality</c:v>
                </c:pt>
                <c:pt idx="2">
                  <c:v>Weld Verification Testing Complete and Reviewed</c:v>
                </c:pt>
                <c:pt idx="3">
                  <c:v>6XL ECN</c:v>
                </c:pt>
                <c:pt idx="4">
                  <c:v>Implemented in Production</c:v>
                </c:pt>
              </c:strCache>
            </c:strRef>
          </c:cat>
          <c:val>
            <c:numRef>
              <c:f>Sheet1!$F$2:$F$6</c:f>
              <c:numCache>
                <c:formatCode>0</c:formatCode>
                <c:ptCount val="5"/>
                <c:pt idx="0">
                  <c:v>46048</c:v>
                </c:pt>
                <c:pt idx="1">
                  <c:v>46079</c:v>
                </c:pt>
                <c:pt idx="2">
                  <c:v>46111</c:v>
                </c:pt>
                <c:pt idx="3">
                  <c:v>46125</c:v>
                </c:pt>
                <c:pt idx="4">
                  <c:v>46140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Sheet1!$D$2:$D$11</c15:f>
                <c15:dlblRangeCache>
                  <c:ptCount val="10"/>
                  <c:pt idx="0">
                    <c:v>2/26/26</c:v>
                  </c:pt>
                  <c:pt idx="1">
                    <c:v>3/30/26</c:v>
                  </c:pt>
                  <c:pt idx="2">
                    <c:v>4/13/26</c:v>
                  </c:pt>
                  <c:pt idx="3">
                    <c:v>4/27/26</c:v>
                  </c:pt>
                  <c:pt idx="4">
                    <c:v>6/23/26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5A9-41D8-8DE5-79C8E61BA2F9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End Date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5A9-41D8-8DE5-79C8E61BA2F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5A9-41D8-8DE5-79C8E61BA2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A9-41D8-8DE5-79C8E61BA2F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A9-41D8-8DE5-79C8E61BA2F9}"/>
              </c:ext>
            </c:extLst>
          </c:dPt>
          <c:cat>
            <c:strRef>
              <c:f>Sheet1!$A$2:$A$11</c:f>
              <c:strCache>
                <c:ptCount val="5"/>
                <c:pt idx="0">
                  <c:v>Robotic Cell Power Up &amp; Commisioning</c:v>
                </c:pt>
                <c:pt idx="1">
                  <c:v>Programming, Weld Functionality</c:v>
                </c:pt>
                <c:pt idx="2">
                  <c:v>Weld Verification Testing Complete and Reviewed</c:v>
                </c:pt>
                <c:pt idx="3">
                  <c:v>6XL ECN</c:v>
                </c:pt>
                <c:pt idx="4">
                  <c:v>Implemented in Production</c:v>
                </c:pt>
              </c:strCache>
            </c:strRef>
          </c:cat>
          <c:val>
            <c:numRef>
              <c:f>Sheet1!$G$2:$G$6</c:f>
              <c:numCache>
                <c:formatCode>0</c:formatCode>
                <c:ptCount val="5"/>
                <c:pt idx="0">
                  <c:v>31</c:v>
                </c:pt>
                <c:pt idx="1">
                  <c:v>32</c:v>
                </c:pt>
                <c:pt idx="2">
                  <c:v>14</c:v>
                </c:pt>
                <c:pt idx="3">
                  <c:v>14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9-41D8-8DE5-79C8E61BA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4111007"/>
        <c:axId val="544113167"/>
      </c:barChart>
      <c:catAx>
        <c:axId val="54411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13167"/>
        <c:crosses val="autoZero"/>
        <c:auto val="1"/>
        <c:lblAlgn val="ctr"/>
        <c:lblOffset val="100"/>
        <c:noMultiLvlLbl val="0"/>
      </c:catAx>
      <c:valAx>
        <c:axId val="544113167"/>
        <c:scaling>
          <c:orientation val="minMax"/>
          <c:max val="46430"/>
          <c:min val="4607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1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and Alpha Fastener</a:t>
            </a:r>
            <a:r>
              <a:rPr lang="en-US" baseline="0"/>
              <a:t> Transition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Sheet1!$A$20:$A$29</c:f>
              <c:strCach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Implemented in Production</c:v>
                </c:pt>
                <c:pt idx="6">
                  <c:v>6XL ECN</c:v>
                </c:pt>
                <c:pt idx="7">
                  <c:v>Weld Verification Testing Complete and Reviewed</c:v>
                </c:pt>
                <c:pt idx="8">
                  <c:v>Programming, Weld Functionality</c:v>
                </c:pt>
                <c:pt idx="9">
                  <c:v>Robotic Cell Power Up &amp; Commisioning</c:v>
                </c:pt>
              </c:strCache>
            </c:strRef>
          </c:cat>
          <c:val>
            <c:numRef>
              <c:f>Sheet1!$F$20:$F$29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46140</c:v>
                </c:pt>
                <c:pt idx="6">
                  <c:v>46125</c:v>
                </c:pt>
                <c:pt idx="7">
                  <c:v>46111</c:v>
                </c:pt>
                <c:pt idx="8">
                  <c:v>46079</c:v>
                </c:pt>
                <c:pt idx="9">
                  <c:v>46048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B6-4D8B-B440-6CCE9742C7C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End Date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DB6-4D8B-B440-6CCE9742C7C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DB6-4D8B-B440-6CCE9742C7C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DB6-4D8B-B440-6CCE9742C7C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DB6-4D8B-B440-6CCE9742C7C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5DB6-4D8B-B440-6CCE9742C7C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DB6-4D8B-B440-6CCE9742C7C6}"/>
              </c:ext>
            </c:extLst>
          </c:dPt>
          <c:dLbls>
            <c:dLbl>
              <c:idx val="0"/>
              <c:layout>
                <c:manualLayout>
                  <c:x val="5.5833830170706339E-2"/>
                  <c:y val="-7.944388446815857E-3"/>
                </c:manualLayout>
              </c:layout>
              <c:tx>
                <c:rich>
                  <a:bodyPr/>
                  <a:lstStyle/>
                  <a:p>
                    <a:fld id="{C8D3E24D-84B0-40D6-B39B-DCF33DBB26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5DB6-4D8B-B440-6CCE9742C7C6}"/>
                </c:ext>
              </c:extLst>
            </c:dLbl>
            <c:dLbl>
              <c:idx val="1"/>
              <c:layout>
                <c:manualLayout>
                  <c:x val="5.9802498578017046E-2"/>
                  <c:y val="-9.7096959344277117E-17"/>
                </c:manualLayout>
              </c:layout>
              <c:tx>
                <c:rich>
                  <a:bodyPr/>
                  <a:lstStyle/>
                  <a:p>
                    <a:fld id="{5E1FC91E-4361-47DE-AD36-AD1175D72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DB6-4D8B-B440-6CCE9742C7C6}"/>
                </c:ext>
              </c:extLst>
            </c:dLbl>
            <c:dLbl>
              <c:idx val="2"/>
              <c:layout>
                <c:manualLayout>
                  <c:x val="0.20724834330434544"/>
                  <c:y val="0"/>
                </c:manualLayout>
              </c:layout>
              <c:tx>
                <c:rich>
                  <a:bodyPr/>
                  <a:lstStyle/>
                  <a:p>
                    <a:fld id="{EFB94CE6-6343-42E3-AC8B-332D38DFC9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DB6-4D8B-B440-6CCE9742C7C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5C476C-F264-448A-BE05-573DC30D79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DB6-4D8B-B440-6CCE9742C7C6}"/>
                </c:ext>
              </c:extLst>
            </c:dLbl>
            <c:dLbl>
              <c:idx val="4"/>
              <c:layout>
                <c:manualLayout>
                  <c:x val="4.8971443843670914E-2"/>
                  <c:y val="-2.648129482272017E-3"/>
                </c:manualLayout>
              </c:layout>
              <c:tx>
                <c:rich>
                  <a:bodyPr/>
                  <a:lstStyle/>
                  <a:p>
                    <a:fld id="{ABF18F7B-CE71-42BF-BBD6-04CE399D37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DB6-4D8B-B440-6CCE9742C7C6}"/>
                </c:ext>
              </c:extLst>
            </c:dLbl>
            <c:dLbl>
              <c:idx val="5"/>
              <c:layout>
                <c:manualLayout>
                  <c:x val="8.4849132761799034E-2"/>
                  <c:y val="-9.7096959344277117E-17"/>
                </c:manualLayout>
              </c:layout>
              <c:tx>
                <c:rich>
                  <a:bodyPr/>
                  <a:lstStyle/>
                  <a:p>
                    <a:fld id="{7DD38135-3750-4B35-A5CF-662314E3A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5DB6-4D8B-B440-6CCE9742C7C6}"/>
                </c:ext>
              </c:extLst>
            </c:dLbl>
            <c:dLbl>
              <c:idx val="6"/>
              <c:layout>
                <c:manualLayout>
                  <c:x val="4.7602639748360438E-2"/>
                  <c:y val="2.6481294822718712E-3"/>
                </c:manualLayout>
              </c:layout>
              <c:tx>
                <c:rich>
                  <a:bodyPr/>
                  <a:lstStyle/>
                  <a:p>
                    <a:fld id="{7D52A836-143A-4F70-AE2B-8A15478F37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5DB6-4D8B-B440-6CCE9742C7C6}"/>
                </c:ext>
              </c:extLst>
            </c:dLbl>
            <c:dLbl>
              <c:idx val="7"/>
              <c:layout>
                <c:manualLayout>
                  <c:x val="5.6908780658292385E-2"/>
                  <c:y val="-2.6481294822719198E-3"/>
                </c:manualLayout>
              </c:layout>
              <c:tx>
                <c:rich>
                  <a:bodyPr/>
                  <a:lstStyle/>
                  <a:p>
                    <a:fld id="{16E6082F-6671-46F1-88CE-DFCC11735D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5DB6-4D8B-B440-6CCE9742C7C6}"/>
                </c:ext>
              </c:extLst>
            </c:dLbl>
            <c:dLbl>
              <c:idx val="8"/>
              <c:layout>
                <c:manualLayout>
                  <c:x val="5.7299397627515881E-2"/>
                  <c:y val="0"/>
                </c:manualLayout>
              </c:layout>
              <c:tx>
                <c:rich>
                  <a:bodyPr/>
                  <a:lstStyle/>
                  <a:p>
                    <a:fld id="{6CBEC56E-4A06-414A-9F09-35F02D1BF4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5DB6-4D8B-B440-6CCE9742C7C6}"/>
                </c:ext>
              </c:extLst>
            </c:dLbl>
            <c:dLbl>
              <c:idx val="9"/>
              <c:layout>
                <c:manualLayout>
                  <c:x val="4.1833843876565038E-2"/>
                  <c:y val="0"/>
                </c:manualLayout>
              </c:layout>
              <c:tx>
                <c:rich>
                  <a:bodyPr/>
                  <a:lstStyle/>
                  <a:p>
                    <a:fld id="{4270D732-F2F6-42ED-B013-C2A59D19F5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5DB6-4D8B-B440-6CCE9742C7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Sheet1!$A$20:$A$29</c:f>
              <c:strCach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Implemented in Production</c:v>
                </c:pt>
                <c:pt idx="6">
                  <c:v>6XL ECN</c:v>
                </c:pt>
                <c:pt idx="7">
                  <c:v>Weld Verification Testing Complete and Reviewed</c:v>
                </c:pt>
                <c:pt idx="8">
                  <c:v>Programming, Weld Functionality</c:v>
                </c:pt>
                <c:pt idx="9">
                  <c:v>Robotic Cell Power Up &amp; Commisioning</c:v>
                </c:pt>
              </c:strCache>
            </c:strRef>
          </c:cat>
          <c:val>
            <c:numRef>
              <c:f>Sheet1!$G$20:$G$29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56</c:v>
                </c:pt>
                <c:pt idx="6">
                  <c:v>14</c:v>
                </c:pt>
                <c:pt idx="7">
                  <c:v>14</c:v>
                </c:pt>
                <c:pt idx="8">
                  <c:v>32</c:v>
                </c:pt>
                <c:pt idx="9">
                  <c:v>31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Sheet1!$D$20:$D$29</c15:f>
                <c15:dlblRangeCache>
                  <c:ptCount val="10"/>
                  <c:pt idx="0">
                    <c:v>1/0/00</c:v>
                  </c:pt>
                  <c:pt idx="1">
                    <c:v>1/0/00</c:v>
                  </c:pt>
                  <c:pt idx="2">
                    <c:v>1/0/00</c:v>
                  </c:pt>
                  <c:pt idx="3">
                    <c:v>1/0/00</c:v>
                  </c:pt>
                  <c:pt idx="4">
                    <c:v>1/0/00</c:v>
                  </c:pt>
                  <c:pt idx="5">
                    <c:v>6/23/26</c:v>
                  </c:pt>
                  <c:pt idx="6">
                    <c:v>4/27/26</c:v>
                  </c:pt>
                  <c:pt idx="7">
                    <c:v>4/13/26</c:v>
                  </c:pt>
                  <c:pt idx="8">
                    <c:v>3/30/26</c:v>
                  </c:pt>
                  <c:pt idx="9">
                    <c:v>2/26/26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5DB6-4D8B-B440-6CCE9742C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4111007"/>
        <c:axId val="544113167"/>
      </c:barChart>
      <c:catAx>
        <c:axId val="54411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13167"/>
        <c:crosses val="autoZero"/>
        <c:auto val="1"/>
        <c:lblAlgn val="ctr"/>
        <c:lblOffset val="100"/>
        <c:noMultiLvlLbl val="0"/>
      </c:catAx>
      <c:valAx>
        <c:axId val="544113167"/>
        <c:scaling>
          <c:orientation val="minMax"/>
          <c:max val="46430"/>
          <c:min val="4607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1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628649</xdr:colOff>
      <xdr:row>3</xdr:row>
      <xdr:rowOff>4762</xdr:rowOff>
    </xdr:from>
    <xdr:to>
      <xdr:col>18</xdr:col>
      <xdr:colOff>581024</xdr:colOff>
      <xdr:row>28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D6A71A-78FD-419D-A7CA-0DF3C7F86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33</xdr:row>
      <xdr:rowOff>114300</xdr:rowOff>
    </xdr:from>
    <xdr:to>
      <xdr:col>18</xdr:col>
      <xdr:colOff>590550</xdr:colOff>
      <xdr:row>58</xdr:row>
      <xdr:rowOff>147638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C5D7DB-3A0B-44A7-B810-8162B61A6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A241-19DD-4592-8A57-038B26DA9C2C}">
  <dimension ref="A1:K33"/>
  <sheetViews>
    <sheetView tabSelected="1" workbookViewId="0">
      <selection activeCell="X28" sqref="X28"/>
    </sheetView>
  </sheetViews>
  <sheetFormatPr defaultRowHeight="15" x14ac:dyDescent="0.25"/>
  <cols>
    <col min="1" max="1" width="43.85546875" customWidth="1"/>
    <col min="2" max="4" width="10.42578125" bestFit="1" customWidth="1"/>
    <col min="6" max="6" width="9.42578125" bestFit="1" customWidth="1"/>
    <col min="8" max="8" width="9.42578125" bestFit="1" customWidth="1"/>
    <col min="9" max="9" width="18.42578125" customWidth="1"/>
  </cols>
  <sheetData>
    <row r="1" spans="1:11" x14ac:dyDescent="0.25">
      <c r="A1" s="2" t="s">
        <v>0</v>
      </c>
      <c r="B1" s="2" t="s">
        <v>2</v>
      </c>
      <c r="C1" s="2" t="s">
        <v>4</v>
      </c>
      <c r="D1" s="2" t="s">
        <v>3</v>
      </c>
      <c r="F1" s="2" t="s">
        <v>6</v>
      </c>
      <c r="J1" t="s">
        <v>1</v>
      </c>
      <c r="K1" s="1">
        <v>46080</v>
      </c>
    </row>
    <row r="2" spans="1:11" x14ac:dyDescent="0.25">
      <c r="A2" t="s">
        <v>12</v>
      </c>
      <c r="B2" s="8">
        <v>46048</v>
      </c>
      <c r="C2">
        <f t="shared" ref="C2:C11" si="0">D2-B2</f>
        <v>31</v>
      </c>
      <c r="D2" s="8">
        <v>46079</v>
      </c>
      <c r="F2" s="3">
        <f>B2</f>
        <v>46048</v>
      </c>
      <c r="G2" s="3">
        <f>C2</f>
        <v>31</v>
      </c>
    </row>
    <row r="3" spans="1:11" x14ac:dyDescent="0.25">
      <c r="A3" t="s">
        <v>11</v>
      </c>
      <c r="B3" s="8">
        <v>46079</v>
      </c>
      <c r="C3">
        <f t="shared" si="0"/>
        <v>32</v>
      </c>
      <c r="D3" s="8">
        <v>46111</v>
      </c>
      <c r="F3" s="3">
        <f t="shared" ref="F3:F11" si="1">B3</f>
        <v>46079</v>
      </c>
      <c r="G3" s="3">
        <f t="shared" ref="G3:G11" si="2">C3</f>
        <v>32</v>
      </c>
    </row>
    <row r="4" spans="1:11" x14ac:dyDescent="0.25">
      <c r="A4" t="s">
        <v>13</v>
      </c>
      <c r="B4" s="8">
        <f>D3</f>
        <v>46111</v>
      </c>
      <c r="C4">
        <f t="shared" si="0"/>
        <v>14</v>
      </c>
      <c r="D4" s="8">
        <v>46125</v>
      </c>
      <c r="F4" s="3">
        <f t="shared" si="1"/>
        <v>46111</v>
      </c>
      <c r="G4" s="3">
        <f t="shared" si="2"/>
        <v>14</v>
      </c>
    </row>
    <row r="5" spans="1:11" x14ac:dyDescent="0.25">
      <c r="A5" t="s">
        <v>14</v>
      </c>
      <c r="B5" s="8">
        <f>D4</f>
        <v>46125</v>
      </c>
      <c r="C5">
        <f t="shared" si="0"/>
        <v>14</v>
      </c>
      <c r="D5" s="8">
        <f>B5+14</f>
        <v>46139</v>
      </c>
      <c r="F5" s="3">
        <f t="shared" si="1"/>
        <v>46125</v>
      </c>
      <c r="G5" s="3">
        <f t="shared" si="2"/>
        <v>14</v>
      </c>
    </row>
    <row r="6" spans="1:11" x14ac:dyDescent="0.25">
      <c r="A6" t="s">
        <v>15</v>
      </c>
      <c r="B6" s="8">
        <f>D5+1</f>
        <v>46140</v>
      </c>
      <c r="C6">
        <f t="shared" si="0"/>
        <v>56</v>
      </c>
      <c r="D6" s="8">
        <f>B6+(28*2)</f>
        <v>46196</v>
      </c>
      <c r="F6" s="3">
        <f t="shared" si="1"/>
        <v>46140</v>
      </c>
      <c r="G6" s="3">
        <f t="shared" si="2"/>
        <v>56</v>
      </c>
    </row>
    <row r="7" spans="1:11" x14ac:dyDescent="0.25">
      <c r="B7" s="8"/>
      <c r="D7" s="8"/>
      <c r="F7" s="3"/>
      <c r="G7" s="3"/>
    </row>
    <row r="8" spans="1:11" x14ac:dyDescent="0.25">
      <c r="B8" s="8"/>
      <c r="D8" s="8"/>
      <c r="F8" s="3"/>
      <c r="G8" s="3"/>
    </row>
    <row r="9" spans="1:11" x14ac:dyDescent="0.25">
      <c r="B9" s="8"/>
      <c r="D9" s="8"/>
      <c r="F9" s="3"/>
      <c r="G9" s="3"/>
    </row>
    <row r="10" spans="1:11" x14ac:dyDescent="0.25">
      <c r="B10" s="8"/>
      <c r="D10" s="8"/>
      <c r="F10" s="3"/>
      <c r="G10" s="3"/>
    </row>
    <row r="11" spans="1:11" x14ac:dyDescent="0.25">
      <c r="B11" s="8"/>
      <c r="D11" s="8"/>
      <c r="F11" s="3"/>
      <c r="G11" s="3"/>
    </row>
    <row r="13" spans="1:11" x14ac:dyDescent="0.25">
      <c r="A13" s="2" t="s">
        <v>5</v>
      </c>
    </row>
    <row r="20" spans="1:9" s="9" customFormat="1" x14ac:dyDescent="0.25">
      <c r="A20" s="9">
        <f>A11</f>
        <v>0</v>
      </c>
      <c r="B20" s="10">
        <f t="shared" ref="B20:G20" si="3">B11</f>
        <v>0</v>
      </c>
      <c r="C20" s="9">
        <f t="shared" si="3"/>
        <v>0</v>
      </c>
      <c r="D20" s="10">
        <f t="shared" si="3"/>
        <v>0</v>
      </c>
      <c r="F20" s="9">
        <f t="shared" si="3"/>
        <v>0</v>
      </c>
      <c r="G20" s="9">
        <f t="shared" si="3"/>
        <v>0</v>
      </c>
    </row>
    <row r="21" spans="1:9" s="9" customFormat="1" x14ac:dyDescent="0.25">
      <c r="A21" s="9">
        <f>A10</f>
        <v>0</v>
      </c>
      <c r="B21" s="10">
        <f t="shared" ref="B21:G21" si="4">B10</f>
        <v>0</v>
      </c>
      <c r="C21" s="9">
        <f t="shared" si="4"/>
        <v>0</v>
      </c>
      <c r="D21" s="10">
        <f t="shared" si="4"/>
        <v>0</v>
      </c>
      <c r="F21" s="9">
        <f t="shared" si="4"/>
        <v>0</v>
      </c>
      <c r="G21" s="9">
        <f t="shared" si="4"/>
        <v>0</v>
      </c>
    </row>
    <row r="22" spans="1:9" s="9" customFormat="1" x14ac:dyDescent="0.25">
      <c r="A22" s="9">
        <f>A9</f>
        <v>0</v>
      </c>
      <c r="B22" s="10">
        <f t="shared" ref="B22:G22" si="5">B9</f>
        <v>0</v>
      </c>
      <c r="C22" s="9">
        <f t="shared" si="5"/>
        <v>0</v>
      </c>
      <c r="D22" s="10">
        <f t="shared" si="5"/>
        <v>0</v>
      </c>
      <c r="F22" s="9">
        <f t="shared" si="5"/>
        <v>0</v>
      </c>
      <c r="G22" s="9">
        <f t="shared" si="5"/>
        <v>0</v>
      </c>
    </row>
    <row r="23" spans="1:9" s="9" customFormat="1" x14ac:dyDescent="0.25">
      <c r="A23" s="9">
        <f>A8</f>
        <v>0</v>
      </c>
      <c r="B23" s="10">
        <f t="shared" ref="B23:G23" si="6">B8</f>
        <v>0</v>
      </c>
      <c r="C23" s="9">
        <f t="shared" si="6"/>
        <v>0</v>
      </c>
      <c r="D23" s="10">
        <f t="shared" si="6"/>
        <v>0</v>
      </c>
      <c r="F23" s="9">
        <f t="shared" si="6"/>
        <v>0</v>
      </c>
      <c r="G23" s="9">
        <f t="shared" si="6"/>
        <v>0</v>
      </c>
    </row>
    <row r="24" spans="1:9" s="9" customFormat="1" x14ac:dyDescent="0.25">
      <c r="A24" s="9">
        <f>A7</f>
        <v>0</v>
      </c>
      <c r="B24" s="10">
        <f t="shared" ref="B24:G24" si="7">B7</f>
        <v>0</v>
      </c>
      <c r="C24" s="9">
        <f t="shared" si="7"/>
        <v>0</v>
      </c>
      <c r="D24" s="10">
        <f t="shared" si="7"/>
        <v>0</v>
      </c>
      <c r="F24" s="9">
        <f t="shared" si="7"/>
        <v>0</v>
      </c>
      <c r="G24" s="9">
        <f t="shared" si="7"/>
        <v>0</v>
      </c>
    </row>
    <row r="25" spans="1:9" s="9" customFormat="1" x14ac:dyDescent="0.25">
      <c r="A25" s="9" t="str">
        <f>A6</f>
        <v>Implemented in Production</v>
      </c>
      <c r="B25" s="10">
        <f t="shared" ref="B25:G25" si="8">B6</f>
        <v>46140</v>
      </c>
      <c r="C25" s="9">
        <f t="shared" si="8"/>
        <v>56</v>
      </c>
      <c r="D25" s="10">
        <f t="shared" si="8"/>
        <v>46196</v>
      </c>
      <c r="F25" s="9">
        <f t="shared" si="8"/>
        <v>46140</v>
      </c>
      <c r="G25" s="9">
        <f t="shared" si="8"/>
        <v>56</v>
      </c>
    </row>
    <row r="26" spans="1:9" s="9" customFormat="1" x14ac:dyDescent="0.25">
      <c r="A26" s="9" t="str">
        <f>A5</f>
        <v>6XL ECN</v>
      </c>
      <c r="B26" s="10">
        <f t="shared" ref="B26:G26" si="9">B5</f>
        <v>46125</v>
      </c>
      <c r="C26" s="9">
        <f t="shared" si="9"/>
        <v>14</v>
      </c>
      <c r="D26" s="10">
        <f t="shared" si="9"/>
        <v>46139</v>
      </c>
      <c r="F26" s="9">
        <f t="shared" si="9"/>
        <v>46125</v>
      </c>
      <c r="G26" s="9">
        <f t="shared" si="9"/>
        <v>14</v>
      </c>
    </row>
    <row r="27" spans="1:9" s="9" customFormat="1" x14ac:dyDescent="0.25">
      <c r="A27" s="9" t="str">
        <f>A4</f>
        <v>Weld Verification Testing Complete and Reviewed</v>
      </c>
      <c r="B27" s="10">
        <f t="shared" ref="B27:G27" si="10">B4</f>
        <v>46111</v>
      </c>
      <c r="C27" s="9">
        <f t="shared" si="10"/>
        <v>14</v>
      </c>
      <c r="D27" s="10">
        <f t="shared" si="10"/>
        <v>46125</v>
      </c>
      <c r="F27" s="9">
        <f t="shared" si="10"/>
        <v>46111</v>
      </c>
      <c r="G27" s="9">
        <f t="shared" si="10"/>
        <v>14</v>
      </c>
    </row>
    <row r="28" spans="1:9" s="9" customFormat="1" x14ac:dyDescent="0.25">
      <c r="A28" s="9" t="str">
        <f>A3</f>
        <v>Programming, Weld Functionality</v>
      </c>
      <c r="B28" s="10">
        <f t="shared" ref="B28:G28" si="11">B3</f>
        <v>46079</v>
      </c>
      <c r="C28" s="9">
        <f t="shared" si="11"/>
        <v>32</v>
      </c>
      <c r="D28" s="10">
        <f t="shared" si="11"/>
        <v>46111</v>
      </c>
      <c r="F28" s="9">
        <f t="shared" si="11"/>
        <v>46079</v>
      </c>
      <c r="G28" s="9">
        <f t="shared" si="11"/>
        <v>32</v>
      </c>
    </row>
    <row r="29" spans="1:9" s="9" customFormat="1" x14ac:dyDescent="0.25">
      <c r="A29" s="9" t="str">
        <f>A2</f>
        <v>Robotic Cell Power Up &amp; Commisioning</v>
      </c>
      <c r="B29" s="10">
        <f t="shared" ref="B29:G29" si="12">B2</f>
        <v>46048</v>
      </c>
      <c r="C29" s="9">
        <f t="shared" si="12"/>
        <v>31</v>
      </c>
      <c r="D29" s="10">
        <f t="shared" si="12"/>
        <v>46079</v>
      </c>
      <c r="F29" s="9">
        <f t="shared" si="12"/>
        <v>46048</v>
      </c>
      <c r="G29" s="9">
        <f t="shared" si="12"/>
        <v>31</v>
      </c>
    </row>
    <row r="30" spans="1:9" x14ac:dyDescent="0.25">
      <c r="I30" s="7" t="s">
        <v>7</v>
      </c>
    </row>
    <row r="31" spans="1:9" x14ac:dyDescent="0.25">
      <c r="I31" s="6" t="s">
        <v>8</v>
      </c>
    </row>
    <row r="32" spans="1:9" x14ac:dyDescent="0.25">
      <c r="I32" s="5" t="s">
        <v>9</v>
      </c>
    </row>
    <row r="33" spans="9:9" x14ac:dyDescent="0.25">
      <c r="I33" s="4" t="s">
        <v>10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Boone</dc:creator>
  <cp:lastModifiedBy>Drew Svendsen</cp:lastModifiedBy>
  <dcterms:created xsi:type="dcterms:W3CDTF">2026-02-27T16:56:14Z</dcterms:created>
  <dcterms:modified xsi:type="dcterms:W3CDTF">2026-03-02T19:25:11Z</dcterms:modified>
</cp:coreProperties>
</file>